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jerom\OneDrive\바탕 화면\원준\고려대\3학년\OR2\"/>
    </mc:Choice>
  </mc:AlternateContent>
  <xr:revisionPtr revIDLastSave="0" documentId="8_{DEB6F1A2-BDC2-4661-A68B-685BEFD5F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nswer Report 1" sheetId="4" r:id="rId2"/>
    <sheet name="Sensitivity Report 1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6" i="1"/>
  <c r="K7" i="1"/>
  <c r="R12" i="1"/>
  <c r="Q12" i="1"/>
  <c r="O12" i="1"/>
  <c r="N12" i="1"/>
  <c r="L12" i="1"/>
  <c r="J12" i="1"/>
  <c r="R11" i="1"/>
  <c r="P11" i="1"/>
  <c r="M11" i="1"/>
  <c r="Q11" i="1"/>
  <c r="O11" i="1"/>
  <c r="N11" i="1"/>
  <c r="L11" i="1"/>
  <c r="J11" i="1"/>
  <c r="P10" i="1"/>
  <c r="Q10" i="1"/>
  <c r="O10" i="1"/>
  <c r="M10" i="1"/>
  <c r="L10" i="1"/>
  <c r="K10" i="1"/>
  <c r="J10" i="1"/>
  <c r="Q9" i="1"/>
  <c r="O9" i="1"/>
  <c r="N9" i="1"/>
  <c r="L9" i="1"/>
  <c r="K9" i="1"/>
  <c r="J9" i="1"/>
  <c r="J15" i="1" s="1"/>
  <c r="XFC1048575" i="1" a="1"/>
  <c r="XFC1048575" i="1" s="1"/>
  <c r="XFC1048574" i="1" a="1"/>
  <c r="XFC1048574" i="1" s="1"/>
  <c r="XFC1048573" i="1" a="1"/>
  <c r="XFC1048573" i="1" s="1"/>
  <c r="XFC1048572" i="1" a="1"/>
  <c r="XFC1048572" i="1" s="1"/>
  <c r="XFC1048571" i="1" a="1"/>
  <c r="XFC1048571" i="1" s="1"/>
  <c r="XFC1048570" i="1" a="1"/>
  <c r="XFC1048570" i="1" s="1"/>
  <c r="XFC1048569" i="1" a="1"/>
  <c r="XFC1048569" i="1" s="1"/>
  <c r="XFC1048568" i="1" a="1"/>
  <c r="XFC1048568" i="1" s="1"/>
  <c r="XFC1048567" i="1" a="1"/>
  <c r="XFC1048567" i="1" s="1"/>
  <c r="XFC1048566" i="1" a="1"/>
  <c r="XFC1048566" i="1" s="1"/>
  <c r="XFC1048565" i="1" a="1"/>
  <c r="XFC1048565" i="1" s="1"/>
  <c r="XFC1048564" i="1" a="1"/>
  <c r="XFC1048564" i="1" s="1"/>
  <c r="XFC1048563" i="1" a="1"/>
  <c r="XFC1048563" i="1" s="1"/>
  <c r="XFC1048562" i="1" a="1"/>
  <c r="XFC1048562" i="1" s="1"/>
  <c r="XFC1048561" i="1" a="1"/>
  <c r="XFC1048561" i="1" s="1"/>
  <c r="XFC1048560" i="1" a="1"/>
  <c r="XFC1048560" i="1" s="1"/>
  <c r="XFC1048559" i="1" a="1"/>
  <c r="XFC1048559" i="1" s="1"/>
  <c r="XFC1048558" i="1" a="1"/>
  <c r="XFC1048558" i="1" s="1"/>
  <c r="XFC1048557" i="1" a="1"/>
  <c r="XFC1048557" i="1" s="1"/>
  <c r="XFC1048556" i="1" a="1"/>
  <c r="XFC1048556" i="1" s="1"/>
  <c r="XFC1048555" i="1" a="1"/>
  <c r="XFC1048555" i="1" s="1"/>
  <c r="XFC1048554" i="1" a="1"/>
  <c r="XFC1048554" i="1" s="1"/>
  <c r="XFC1048553" i="1" a="1"/>
  <c r="XFC1048553" i="1" s="1"/>
  <c r="XFC1048552" i="1" a="1"/>
  <c r="XFC1048552" i="1" s="1"/>
  <c r="XFC1048551" i="1" a="1"/>
  <c r="XFC1048551" i="1" s="1"/>
  <c r="XFC1048550" i="1" a="1"/>
  <c r="XFC1048550" i="1" s="1"/>
  <c r="J14" i="1"/>
  <c r="N10" i="1"/>
  <c r="R6" i="1"/>
  <c r="Q6" i="1"/>
  <c r="P6" i="1"/>
  <c r="O6" i="1"/>
  <c r="N6" i="1"/>
  <c r="M6" i="1"/>
  <c r="L6" i="1"/>
  <c r="K6" i="1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<sst xmlns="http://schemas.openxmlformats.org/spreadsheetml/2006/main" count="110" uniqueCount="64">
  <si>
    <t>decision 1</t>
  </si>
  <si>
    <t>y_01</t>
  </si>
  <si>
    <t>y_02</t>
  </si>
  <si>
    <t>y_11</t>
  </si>
  <si>
    <t>y_12</t>
  </si>
  <si>
    <t>y_21</t>
  </si>
  <si>
    <t>y_31</t>
  </si>
  <si>
    <t>y_33</t>
  </si>
  <si>
    <t>y_41</t>
  </si>
  <si>
    <t>y_43</t>
  </si>
  <si>
    <t>NI</t>
  </si>
  <si>
    <t>Objective</t>
  </si>
  <si>
    <t>Max</t>
  </si>
  <si>
    <t>decision 2</t>
  </si>
  <si>
    <t>Constraint 1</t>
  </si>
  <si>
    <t>=</t>
  </si>
  <si>
    <t>Constraint 2</t>
  </si>
  <si>
    <t>Constraint 3</t>
  </si>
  <si>
    <t>Constraint 4</t>
  </si>
  <si>
    <t>Constraint 5</t>
  </si>
  <si>
    <t>decision 3</t>
  </si>
  <si>
    <t>LHS</t>
  </si>
  <si>
    <t>RHS</t>
  </si>
  <si>
    <t xml:space="preserve"> k/i</t>
  </si>
  <si>
    <t>Microsoft Excel Answer Report</t>
  </si>
  <si>
    <t>Worksheet: Sheet1</t>
  </si>
  <si>
    <t>Report Created:Fri Jun 07 2024 23:18:21 GMT+0900 (한국 표준시)</t>
  </si>
  <si>
    <t>Result: Solver found a solution.  All constraints and optimality conditions are satisfied.</t>
  </si>
  <si>
    <t>Engine: Standard LSGRG Nonlinear</t>
  </si>
  <si>
    <t>Solution Time: 7 milliseconds</t>
  </si>
  <si>
    <t>Iterations: 10</t>
  </si>
  <si>
    <t>Subproblems: 0</t>
  </si>
  <si>
    <t>Incumbent Solutions: 0</t>
  </si>
  <si>
    <t>Objective Cell (Max)</t>
  </si>
  <si>
    <t>Cell</t>
  </si>
  <si>
    <t>Original Value</t>
  </si>
  <si>
    <t>Final Value</t>
  </si>
  <si>
    <t>Sheet1'!$K$7</t>
  </si>
  <si>
    <t>Decision Variable Cells</t>
  </si>
  <si>
    <t>$J$5</t>
  </si>
  <si>
    <t>$K$5</t>
  </si>
  <si>
    <t>$L$5</t>
  </si>
  <si>
    <t>$M$5</t>
  </si>
  <si>
    <t>$N$5</t>
  </si>
  <si>
    <t>$O$5</t>
  </si>
  <si>
    <t>$P$5</t>
  </si>
  <si>
    <t>$Q$5</t>
  </si>
  <si>
    <t>$R$5</t>
  </si>
  <si>
    <t>Constraints</t>
  </si>
  <si>
    <t>Lower Bound</t>
  </si>
  <si>
    <t>Upper Bound</t>
  </si>
  <si>
    <t>Slack</t>
  </si>
  <si>
    <t>$J$14</t>
  </si>
  <si>
    <t>$J$15</t>
  </si>
  <si>
    <t>$J$16</t>
  </si>
  <si>
    <t>$J$17</t>
  </si>
  <si>
    <t>$J$18</t>
  </si>
  <si>
    <t>Microsoft Excel Sensitivity Report</t>
  </si>
  <si>
    <t>Final</t>
  </si>
  <si>
    <t>Reduced</t>
  </si>
  <si>
    <t>Value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</si>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</sst>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8"/>
      <color theme="1"/>
      <name val="Helv"/>
    </font>
    <font>
      <sz val="8"/>
      <color theme="1"/>
      <name val="Helv"/>
    </font>
    <font>
      <b/>
      <sz val="8"/>
      <color rgb="FF0000FF"/>
      <name val="Helv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quotePrefix="1"/>
    <xf numFmtId="0" fontId="0" fillId="0" borderId="6" xfId="0" applyBorder="1"/>
    <xf numFmtId="0" fontId="0" fillId="0" borderId="7" xfId="0" applyBorder="1"/>
    <xf numFmtId="0" fontId="0" fillId="0" borderId="8" xfId="0" applyBorder="1"/>
    <xf numFmtId="12" fontId="0" fillId="0" borderId="0" xfId="0" applyNumberFormat="1"/>
    <xf numFmtId="12" fontId="0" fillId="0" borderId="7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9" xfId="0" applyFont="1" applyBorder="1"/>
    <xf numFmtId="0" fontId="2" fillId="0" borderId="9" xfId="0" quotePrefix="1" applyFont="1" applyBorder="1"/>
    <xf numFmtId="0" fontId="2" fillId="0" borderId="10" xfId="0" applyFont="1" applyBorder="1"/>
    <xf numFmtId="12" fontId="0" fillId="0" borderId="8" xfId="0" applyNumberFormat="1" applyBorder="1"/>
    <xf numFmtId="13" fontId="0" fillId="0" borderId="0" xfId="0" applyNumberFormat="1"/>
    <xf numFmtId="13" fontId="0" fillId="0" borderId="7" xfId="0" applyNumberFormat="1" applyBorder="1"/>
    <xf numFmtId="13" fontId="0" fillId="0" borderId="5" xfId="0" applyNumberFormat="1" applyBorder="1"/>
    <xf numFmtId="12" fontId="0" fillId="0" borderId="5" xfId="0" applyNumberFormat="1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08A30E-C55D-4BA2-8FD1-C0664D389A15}">
  <we:reference id="WA104100404" version="3.0.0.1" store="ko-KR" storeType="omex"/>
  <we:alternateReferences>
    <we:reference id="WA104100404" version="3.0.0.1" store="ko-KR" storeType="omex"/>
  </we:alternateReferences>
  <we:properties>
    <we:property name="UniqueID" value="&quot;2024571717757525452&quot;"/>
    <we:property name="JlY7" value="&quot;&quot;"/>
    <we:property name="Olw0BDtrTh0HDjwHFW4gHFk=" value="&quot;XA==&quot;"/>
    <we:property name="Olw0BDtrTjgJECMDBV0rGg==" value="&quot;TX51VHV+PUpd&quot;"/>
    <we:property name="Olw0BDtrTiEKCA==" value="&quot;TX91Vg==&quot;"/>
    <we:property name="Olw0BDtrTiMJGgcLCQ==" value="&quot;WA==&quot;"/>
    <we:property name="Olw0BDtrTh0HDjwHFW44CFg=" value="&quot;WQ==&quot;"/>
    <we:property name="Olw0BDtrTh0HDjwHFW4+G1E=" value="&quot;WRphUX9qX18=&quot;"/>
    <we:property name="Olw0BDtrTh0HDjwHFW49Clg=" value="&quot;WA==&quot;"/>
    <we:property name="Olw0BDtrTh0HDjwHFW48BUw=" value="&quot;WQ==&quot;"/>
    <we:property name="Olw0BDtrTh0HDjwHFW46Blg=" value="&quot;WRphUA==&quot;"/>
    <we:property name="Olw0BDtrTh0HDjwHFW4tH1M=" value="&quot;WRphUX9r&quot;"/>
    <we:property name="Olw0BDtrTh0HDjwHFW4jGlg=" value="&quot;WQ==&quot;"/>
    <we:property name="Olw0BDtrTh0HDjwHFW49Gk4=" value="&quot;WARh&quot;"/>
    <we:property name="Olw0BDtrTh0HDjwHFW48GlA=" value="&quot;WQ==&quot;"/>
    <we:property name="Olw0BDtrTh0HDjwHFW4jG0A=" value="&quot;WRphVno=&quot;"/>
    <we:property name="Olw0BDtrTh0HDjwHFW4jB10=" value="&quot;WgQ=&quot;"/>
    <we:property name="Olw0BDtrTh0HDjwHFW48C0I=" value="&quot;WA==&quot;"/>
    <we:property name="Olw0BDtrTh0HDjwHFW4gDFM=" value="&quot;WA==&quot;"/>
    <we:property name="Olw0BDtrTh0HDjwHFW4vClc=" value="&quot;WRphUX4=&quot;"/>
    <we:property name="Olw0BDtrTh0HDjwHFW48DEc=" value="&quot;XA==&quot;"/>
    <we:property name="Olw0BDtrTh0HDjwHFW4vG0c=" value="&quot;WA==&quot;"/>
    <we:property name="Olw0BDtrTh0HDjwHFW49HVU=" value="&quot;WQ==&quot;"/>
    <we:property name="Olw0BDtrTh0HDjwHFW4jDEA=" value="&quot;WA==&quot;"/>
    <we:property name="Olw0BDtrTh0HDjwHFW49Blc=" value="&quot;WQ==&quot;"/>
    <we:property name="Olw0BDtrTh0HDjwHFW4iGUA=" value="&quot;WQ==&quot;"/>
    <we:property name="Olw0BDtrTh0HDjwHFW4iGUQ=" value="&quot;WQ==&quot;"/>
    <we:property name="Olw0BDtrTh0HDjwHFW4pCEQ=" value="&quot;WRphUX9qX18=&quot;"/>
    <we:property name="Olw0BDtrTh0HDjwHFW4nGUc=" value="&quot;WRpoWA==&quot;"/>
    <we:property name="Olw0BDtrTh0HDjwHFW4oDFU=" value="&quot;WRphUX9qX18=&quot;"/>
    <we:property name="Olw0BDtrTh0HDjwHFW4nGV0=" value="&quot;WA==&quot;"/>
    <we:property name="Olw0BDtrTh0HDjwHFW4nGVA=" value="&quot;Wg==&quot;"/>
    <we:property name="Olw0BDtrTh0HDjwHFW4rB1M=" value="&quot;LmYW&quot;"/>
    <we:property name="Olw0BDtrTh0HDjwHFW4iAUdg" value="&quot;TX51UHs=&quot;"/>
    <we:property name="Olw0BDtrTh0HDjwHFW48DFhg" value="&quot;SQlx&quot;"/>
    <we:property name="Olw0BDtrTh0HDjwHFW48AUdg" value="&quot;TXh1UHs=&quot;"/>
    <we:property name="Olw0BDtrTh0HDjwHFW4iAUdj" value="&quot;TX51UHo=&quot;"/>
    <we:property name="Olw0BDtrTh0HDjwHFW48DFhj" value="&quot;SQlx&quot;"/>
    <we:property name="Olw0BDtrTh0HDjwHFW48AUdj" value="&quot;TXh1UHo=&quot;"/>
    <we:property name="Olw0BDtrTh0HDjwHFW4iAUdi" value="&quot;TX51UHk=&quot;"/>
    <we:property name="Olw0BDtrTh0HDjwHFW48DFhi" value="&quot;SQlx&quot;"/>
    <we:property name="Olw0BDtrTh0HDjwHFW48AUdi" value="&quot;TXh1UHk=&quot;"/>
    <we:property name="Olw0BDtrTh0HDjwHFW4iAUdl" value="&quot;TX51UHg=&quot;"/>
    <we:property name="Olw0BDtrTh0HDjwHFW48DFhl" value="&quot;SQlx&quot;"/>
    <we:property name="Olw0BDtrTh0HDjwHFW48AUdl" value="&quot;TXh1UHg=&quot;"/>
    <we:property name="Olw0BDtrTh0HDjwHFW4iAUdk" value="&quot;TX51UHc=&quot;"/>
    <we:property name="Olw0BDtrTh0HDjwHFW48DFhk" value="&quot;SQlx&quot;"/>
    <we:property name="Olw0BDtrTh0HDjwHFW48AUdk" value="&quot;TXh1UHc=&quot;"/>
    <we:property name="Olw0BDtrTh0HDjwHFW4iAUdn" value="&quot;&quot;"/>
    <we:property name="Olw0BDtrTh0HDjwHFW48DFhn" value="&quot;SQhsQQ==&quot;"/>
    <we:property name="Olw0BDtrTh0HDjwHFW48AUdn" value="&quot;&quot;"/>
    <we:property name="KFoiFiooTzwNEiUQExA9BlgnBD0FCgAP" value="&quot;LmYW&quot;"/>
    <we:property name="KFoiFiooTzwNEiUQExADCEwcCCE=" value="&quot;WA==&quot;"/>
    <we:property name="KFoiFiooTzwNEiUQExABC14=" value="&quot;&quot;"/>
    <we:property name="KFoiFiooTzwNEiUQExA9BlgnBD0FAQsP" value="&quot;WA==&quot;"/>
    <we:property name="KFoiFiooTzwNEiUQExA9BlgnBD0FHxwN" value="&quot;WRphUX9qX18=&quot;"/>
    <we:property name="KFoiFiooTzwNEiUQExA9BlgnBD0FHA0E" value="&quot;WA==&quot;"/>
    <we:property name="KFoiFiooTzwNEiUQExA9BlgnBD0FHQIQ" value="&quot;WQ==&quot;"/>
    <we:property name="KFoiFiooTzwNEiUQExA9BlgnBD0FGwEE" value="&quot;WRphUA==&quot;"/>
    <we:property name="KFoiFiooTzwNEiUQExA9BlgnBD0FDBgP" value="&quot;WRphUX9r&quot;"/>
    <we:property name="KFoiFiooTzwNEiUQExA9BlgnBD0FAh0E" value="&quot;WQ==&quot;"/>
    <we:property name="KFoiFiooTzwNEiUQExA9BlgnBD0FHB0S" value="&quot;WARh&quot;"/>
    <we:property name="KFoiFiooTzwNEiUQExA9BlgnBD0FHR0M" value="&quot;WQ==&quot;"/>
    <we:property name="KFoiFiooTzwNEiUQExA9BlgnBD0FAhwc" value="&quot;WRphVno=&quot;"/>
    <we:property name="KFoiFiooTzwNEiUQExA9BlgnBD0FAgAB" value="&quot;WgQ=&quot;"/>
    <we:property name="KFoiFiooTzwNEiUQExA9BlgnBD0FHQwe" value="&quot;WA==&quot;"/>
    <we:property name="KFoiFiooTzwNEiUQExA9BlgnBD0FARoa" value="&quot;Ww==&quot;"/>
    <we:property name="KFoiFiooTzwNEiUQExA9BlgnBD0FDg0L" value="&quot;WRphUX4=&quot;"/>
    <we:property name="KFoiFiooTzwNEiUQExA9BlgnBD0FHQsb" value="&quot;XA==&quot;"/>
    <we:property name="KFoiFiooTzwNEiUQExA9BlgnBD0FDhwb" value="&quot;WA==&quot;"/>
    <we:property name="KFoiFiooTzwNEiUQExA9BlgnBD0FHBoJ" value="&quot;WQ==&quot;"/>
    <we:property name="KFoiFiooTzwNEiUQExA9BlgnBD0FAgsc" value="&quot;Ww==&quot;"/>
    <we:property name="KFoiFiooTzwNEiUQExA9BlgnBD0FHAEL" value="&quot;WQ==&quot;"/>
    <we:property name="KFoiFiooTzwNEiUQExA9BlgnBD0FAx4c" value="&quot;WQ==&quot;"/>
    <we:property name="KFoiFiooTzwNEiUQExA9BlgnBD0FAx4Y" value="&quot;WQ==&quot;"/>
    <we:property name="KFoiFiooTzwNEiUQExA9BlgnBD0FCA8Y" value="&quot;WRphUX9qX18=&quot;"/>
    <we:property name="KFoiFiooTzwNEiUQExA9BlgnBD0FBh4b" value="&quot;WRpoWA==&quot;"/>
    <we:property name="KFoiFiooTzwNEiUQExA9BlgnBD0FCQsJ" value="&quot;WRphUX9qX18=&quot;"/>
    <we:property name="KFoiFiooTzwNEiUQExA9BlgnBD0FBh4B" value="&quot;WA==&quot;"/>
    <we:property name="KFoiFiooTzwNEiUQExA9BlgnBD0FBh4M" value="&quot;Wg==&quot;"/>
    <we:property name="Gls9FyooMAsGBQ==" value="&quot;LmYW&quot;"/>
    <we:property name="Gls9FyooMAANBQ==" value="&quot;WA==&quot;"/>
    <we:property name="Olw0BDtrTh0HDjwHFW4iAUdm" value="&quot;TX51UHo=&quot;"/>
    <we:property name="Olw0BDtrTh0HDjwHFW48DFhm" value="&quot;SQlx&quot;"/>
    <we:property name="Olw0BDtrTh0HDjwHFW48AUdm" value="&quot;WQ==&quot;"/>
    <we:property name="Olw0BDtrTh0HDjwHFW4iAUdp" value="&quot;TX51UHk=&quot;"/>
    <we:property name="Olw0BDtrTh0HDjwHFW48DFhp" value="&quot;SQlx&quot;"/>
    <we:property name="Olw0BDtrTh0HDjwHFW48AUdp" value="&quot;TXh1UHk=&quot;"/>
    <we:property name="Olw0BDtrTh0HDjwHFW4iAUdo" value="&quot;TX51UHg=&quot;"/>
    <we:property name="Olw0BDtrTh0HDjwHFW48DFho" value="&quot;SQlx&quot;"/>
    <we:property name="Olw0BDtrTh0HDjwHFW48AUdo" value="&quot;TXh1UHg=&quot;"/>
    <we:property name="Olw0BDtrTh0HDjwHFW4iAUdgUQ==" value="&quot;TX51UHc=&quot;"/>
    <we:property name="Olw0BDtrTh0HDjwHFW48DFhgUQ==" value="&quot;SQlx&quot;"/>
    <we:property name="Olw0BDtrTh0HDjwHFW48AUdgUQ==" value="&quot;WQ==&quot;"/>
    <we:property name="Olw0BDtrTh0HDjwHFW4iAUdgUA==" value="&quot;&quot;"/>
    <we:property name="Olw0BDtrTh0HDjwHFW48DFhgUA==" value="&quot;SQhsQQ==&quot;"/>
    <we:property name="Olw0BDtrTh0HDjwHFW48AUdgUA==" value="&quot;&quot;"/>
    <we:property name="Olw0BDtrTh0HDjwHFW4iAUdgUw==" value="&quot;&quot;"/>
    <we:property name="Olw0BDtrTh0HDjwHFW48DFhgUw==" value="&quot;SQhsQQ==&quot;"/>
    <we:property name="Olw0BDtrTh0HDjwHFW48AUdgUw==" value="&quot;&quot;"/>
  </we:properties>
  <we:bindings>
    <we:binding id="Answer ReportrefEdit" type="matrix" appref="{8760B3B1-36A8-47F3-8137-70C98E3A6F40}"/>
    <we:binding id="Answer ReportWorker" type="matrix" appref="{AA3B6EC8-10BB-45B1-BD69-5552DB334072}"/>
    <we:binding id="Sheet1refEdit" type="matrix" appref="{3FAA6E29-6071-4849-AAFA-10E148D0038D}"/>
    <we:binding id="Sheet1Worker" type="matrix" appref="{EE616793-33D6-41B7-9CA5-8B25B3DDCF37}"/>
    <we:binding id="Var$J$5:$S$5" type="matrix" appref="{BFD21C0C-0067-4782-868C-6BD339FEF2B1}"/>
    <we:binding id="refEdit" type="matrix" appref="{765AC1A5-3B9D-4C89-8E8A-7C75DD0C5B83}"/>
    <we:binding id="Var0" type="matrix" appref="{5672825A-82F5-43AE-A808-4B4D86092875}"/>
    <we:binding id="Worker" type="matrix" appref="{084EC5D0-1FF6-4529-A74C-3B3B38950AC6}"/>
    <we:binding id="Obj" type="matrix" appref="{A147E0EB-DE46-4D4E-806D-530B5D0CA909}"/>
    <we:binding id="Var$J$5:$R$5" type="matrix" appref="{D7E06351-7490-4E35-A276-5129B8544517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5"/>
  <sheetViews>
    <sheetView tabSelected="1" topLeftCell="G1" workbookViewId="0">
      <selection activeCell="P17" sqref="P17"/>
    </sheetView>
  </sheetViews>
  <sheetFormatPr defaultRowHeight="17.399999999999999" x14ac:dyDescent="0.4"/>
  <cols>
    <col min="14" max="14" width="9.59765625" bestFit="1" customWidth="1"/>
    <col min="15" max="15" width="12.8984375" bestFit="1" customWidth="1"/>
    <col min="18" max="18" width="12.8984375" bestFit="1" customWidth="1"/>
  </cols>
  <sheetData>
    <row r="1" spans="1:20" x14ac:dyDescent="0.4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3">
        <v>4</v>
      </c>
    </row>
    <row r="2" spans="1:20" x14ac:dyDescent="0.4">
      <c r="A2" s="4">
        <v>0</v>
      </c>
      <c r="B2" s="15">
        <v>0.75</v>
      </c>
      <c r="C2" s="15">
        <v>0.125</v>
      </c>
      <c r="D2" s="24">
        <v>6.25E-2</v>
      </c>
      <c r="E2" s="24">
        <v>4.6875E-2</v>
      </c>
      <c r="F2" s="26">
        <v>1.5625E-2</v>
      </c>
    </row>
    <row r="3" spans="1:20" x14ac:dyDescent="0.4">
      <c r="A3" s="4">
        <v>1</v>
      </c>
      <c r="B3">
        <v>0.25</v>
      </c>
      <c r="C3" s="15">
        <v>0.5</v>
      </c>
      <c r="D3" s="15">
        <v>0.125</v>
      </c>
      <c r="E3" s="24">
        <v>6.25E-2</v>
      </c>
      <c r="F3" s="26">
        <v>6.25E-2</v>
      </c>
    </row>
    <row r="4" spans="1:20" x14ac:dyDescent="0.4">
      <c r="A4" s="4">
        <v>2</v>
      </c>
      <c r="B4" s="24">
        <v>6.25E-2</v>
      </c>
      <c r="C4" s="24">
        <v>0.1875</v>
      </c>
      <c r="D4">
        <v>0.5</v>
      </c>
      <c r="E4" s="24">
        <v>0.1875</v>
      </c>
      <c r="F4" s="26">
        <v>6.25E-2</v>
      </c>
      <c r="J4" s="6" t="s">
        <v>1</v>
      </c>
      <c r="K4" s="6" t="s">
        <v>2</v>
      </c>
      <c r="L4" s="7" t="s">
        <v>3</v>
      </c>
      <c r="M4" s="7" t="s">
        <v>4</v>
      </c>
      <c r="N4" s="8" t="s">
        <v>5</v>
      </c>
      <c r="O4" s="9" t="s">
        <v>6</v>
      </c>
      <c r="P4" s="9" t="s">
        <v>7</v>
      </c>
      <c r="Q4" s="10" t="s">
        <v>8</v>
      </c>
      <c r="R4" s="10" t="s">
        <v>9</v>
      </c>
    </row>
    <row r="5" spans="1:20" x14ac:dyDescent="0.4">
      <c r="A5" s="4">
        <v>3</v>
      </c>
      <c r="B5" s="24">
        <v>6.25E-2</v>
      </c>
      <c r="C5" s="24">
        <v>6.25E-2</v>
      </c>
      <c r="D5" s="15">
        <v>0.125</v>
      </c>
      <c r="E5" s="15">
        <v>0.5</v>
      </c>
      <c r="F5" s="27">
        <v>0.25</v>
      </c>
      <c r="J5">
        <v>0.13163022299198901</v>
      </c>
      <c r="K5">
        <v>0</v>
      </c>
      <c r="L5">
        <v>0</v>
      </c>
      <c r="M5" s="11">
        <v>0.26823987876163602</v>
      </c>
      <c r="N5">
        <v>0.32041567438839502</v>
      </c>
      <c r="O5">
        <v>0.20610521757956199</v>
      </c>
      <c r="P5">
        <v>0</v>
      </c>
      <c r="Q5">
        <v>0</v>
      </c>
      <c r="R5">
        <v>7.3609006278415198E-2</v>
      </c>
    </row>
    <row r="6" spans="1:20" x14ac:dyDescent="0.4">
      <c r="A6" s="12">
        <v>4</v>
      </c>
      <c r="B6" s="25">
        <v>1.5625E-2</v>
      </c>
      <c r="C6" s="25">
        <v>4.6875E-2</v>
      </c>
      <c r="D6" s="25">
        <v>6.25E-2</v>
      </c>
      <c r="E6" s="16">
        <v>0.125</v>
      </c>
      <c r="F6" s="23">
        <v>0.75</v>
      </c>
      <c r="H6" t="s">
        <v>10</v>
      </c>
      <c r="J6">
        <f>B19</f>
        <v>7632</v>
      </c>
      <c r="K6">
        <f>B20</f>
        <v>7200</v>
      </c>
      <c r="L6">
        <f>C19</f>
        <v>20988</v>
      </c>
      <c r="M6" s="11">
        <f>C20</f>
        <v>20232</v>
      </c>
      <c r="N6">
        <f>D19</f>
        <v>32436</v>
      </c>
      <c r="O6">
        <f>E19</f>
        <v>38160</v>
      </c>
      <c r="P6">
        <f>E21</f>
        <v>45792</v>
      </c>
      <c r="Q6">
        <f>F19</f>
        <v>38160</v>
      </c>
      <c r="R6">
        <f>F21</f>
        <v>64872</v>
      </c>
    </row>
    <row r="7" spans="1:20" x14ac:dyDescent="0.4">
      <c r="H7" t="s">
        <v>11</v>
      </c>
      <c r="I7" t="s">
        <v>12</v>
      </c>
      <c r="J7" t="s">
        <v>10</v>
      </c>
      <c r="K7">
        <f>SUM(J5*J6,K5*K6,L5*L6,M5*M6,N5*N6,O5*O6,P5*P6,Q5*Q6,R5*R6)</f>
        <v>29464.772461571694</v>
      </c>
    </row>
    <row r="8" spans="1:20" x14ac:dyDescent="0.4">
      <c r="A8" s="1" t="s">
        <v>13</v>
      </c>
      <c r="B8" s="2">
        <v>0</v>
      </c>
      <c r="C8" s="2">
        <v>1</v>
      </c>
      <c r="D8" s="2">
        <v>2</v>
      </c>
      <c r="E8" s="2">
        <v>3</v>
      </c>
      <c r="F8" s="3">
        <v>4</v>
      </c>
      <c r="H8" t="s">
        <v>14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 s="11" t="s">
        <v>15</v>
      </c>
      <c r="T8">
        <v>1</v>
      </c>
    </row>
    <row r="9" spans="1:20" x14ac:dyDescent="0.4">
      <c r="A9" s="4">
        <v>0</v>
      </c>
      <c r="B9" s="15">
        <v>0.66666666666666663</v>
      </c>
      <c r="C9" s="15">
        <v>0.33333333333333331</v>
      </c>
      <c r="D9">
        <v>0</v>
      </c>
      <c r="E9">
        <v>0</v>
      </c>
      <c r="F9" s="5">
        <v>0</v>
      </c>
      <c r="H9" t="s">
        <v>16</v>
      </c>
      <c r="J9">
        <f>SUM(1,-1*B2)</f>
        <v>0.25</v>
      </c>
      <c r="K9" s="11">
        <f>SUM(1,-1*B9)</f>
        <v>0.33333333333333337</v>
      </c>
      <c r="L9">
        <f>-1*B3</f>
        <v>-0.25</v>
      </c>
      <c r="N9" s="24">
        <f>-1*B4</f>
        <v>-6.25E-2</v>
      </c>
      <c r="O9" s="24">
        <f>-1*B5</f>
        <v>-6.25E-2</v>
      </c>
      <c r="Q9" s="24">
        <f>-1*B6</f>
        <v>-1.5625E-2</v>
      </c>
      <c r="S9" s="11" t="s">
        <v>15</v>
      </c>
      <c r="T9">
        <v>0</v>
      </c>
    </row>
    <row r="10" spans="1:20" x14ac:dyDescent="0.4">
      <c r="A10" s="4">
        <v>1</v>
      </c>
      <c r="B10">
        <v>0</v>
      </c>
      <c r="C10" s="15">
        <v>0.66666666666666663</v>
      </c>
      <c r="D10" s="15">
        <v>0.33333333333333331</v>
      </c>
      <c r="E10">
        <v>0</v>
      </c>
      <c r="F10" s="5">
        <v>0</v>
      </c>
      <c r="H10" t="s">
        <v>17</v>
      </c>
      <c r="J10" s="15">
        <f>-1*C2</f>
        <v>-0.125</v>
      </c>
      <c r="K10" s="15">
        <f>-1*C9</f>
        <v>-0.33333333333333331</v>
      </c>
      <c r="L10">
        <f>SUM(1,-1*C3)</f>
        <v>0.5</v>
      </c>
      <c r="M10">
        <f>SUM(1,-1*C10)</f>
        <v>0.33333333333333337</v>
      </c>
      <c r="N10">
        <f>-1*C4</f>
        <v>-0.1875</v>
      </c>
      <c r="O10" s="24">
        <f>-1*C5</f>
        <v>-6.25E-2</v>
      </c>
      <c r="P10">
        <f>-1*C14</f>
        <v>-0.4</v>
      </c>
      <c r="Q10" s="24">
        <f>-1*C6</f>
        <v>-4.6875E-2</v>
      </c>
      <c r="S10" s="11" t="s">
        <v>15</v>
      </c>
      <c r="T10">
        <v>0</v>
      </c>
    </row>
    <row r="11" spans="1:20" x14ac:dyDescent="0.4">
      <c r="A11" s="12"/>
      <c r="B11" s="13"/>
      <c r="C11" s="13"/>
      <c r="D11" s="16"/>
      <c r="E11" s="16"/>
      <c r="F11" s="23"/>
      <c r="H11" t="s">
        <v>18</v>
      </c>
      <c r="J11" s="24">
        <f>-1*D2</f>
        <v>-6.25E-2</v>
      </c>
      <c r="L11" s="15">
        <f>-1*D3</f>
        <v>-0.125</v>
      </c>
      <c r="M11" s="15">
        <f>-1*D10</f>
        <v>-0.33333333333333331</v>
      </c>
      <c r="N11">
        <f>SUM(1,-1*D4)</f>
        <v>0.5</v>
      </c>
      <c r="O11" s="15">
        <f>-1*D5</f>
        <v>-0.125</v>
      </c>
      <c r="P11">
        <f>-1*D14</f>
        <v>-0.6</v>
      </c>
      <c r="Q11" s="24">
        <f>-1*D6</f>
        <v>-6.25E-2</v>
      </c>
      <c r="R11">
        <f>-1*D15</f>
        <v>-0.5</v>
      </c>
      <c r="S11" s="11" t="s">
        <v>15</v>
      </c>
      <c r="T11">
        <v>0</v>
      </c>
    </row>
    <row r="12" spans="1:20" x14ac:dyDescent="0.4">
      <c r="H12" t="s">
        <v>19</v>
      </c>
      <c r="J12" s="24">
        <f>-1*E2</f>
        <v>-4.6875E-2</v>
      </c>
      <c r="L12" s="24">
        <f>-1*E3</f>
        <v>-6.25E-2</v>
      </c>
      <c r="N12" s="24">
        <f>-1*E4</f>
        <v>-0.1875</v>
      </c>
      <c r="O12">
        <f>SUM(1,-1*E5)</f>
        <v>0.5</v>
      </c>
      <c r="P12">
        <v>1</v>
      </c>
      <c r="Q12" s="15">
        <f>-1*E6</f>
        <v>-0.125</v>
      </c>
      <c r="R12">
        <f>-1*E15</f>
        <v>-0.5</v>
      </c>
      <c r="S12" s="11" t="s">
        <v>15</v>
      </c>
      <c r="T12">
        <v>0</v>
      </c>
    </row>
    <row r="13" spans="1:20" x14ac:dyDescent="0.4">
      <c r="A13" s="1" t="s">
        <v>20</v>
      </c>
      <c r="B13" s="2">
        <v>0</v>
      </c>
      <c r="C13" s="2">
        <v>1</v>
      </c>
      <c r="D13" s="2">
        <v>2</v>
      </c>
      <c r="E13" s="2">
        <v>3</v>
      </c>
      <c r="F13" s="3">
        <v>4</v>
      </c>
      <c r="J13" t="s">
        <v>21</v>
      </c>
      <c r="K13" s="11" t="s">
        <v>15</v>
      </c>
      <c r="L13" t="s">
        <v>22</v>
      </c>
    </row>
    <row r="14" spans="1:20" x14ac:dyDescent="0.4">
      <c r="A14" s="4">
        <v>3</v>
      </c>
      <c r="B14">
        <v>0</v>
      </c>
      <c r="C14">
        <v>0.4</v>
      </c>
      <c r="D14">
        <v>0.6</v>
      </c>
      <c r="E14">
        <v>0</v>
      </c>
      <c r="F14" s="5">
        <v>0</v>
      </c>
      <c r="J14">
        <f>SUM(J5:R5)</f>
        <v>0.99999999999999722</v>
      </c>
      <c r="K14" s="11" t="s">
        <v>15</v>
      </c>
      <c r="L14">
        <v>1</v>
      </c>
    </row>
    <row r="15" spans="1:20" x14ac:dyDescent="0.4">
      <c r="A15" s="12">
        <v>4</v>
      </c>
      <c r="B15" s="13">
        <v>0</v>
      </c>
      <c r="C15" s="13">
        <v>0</v>
      </c>
      <c r="D15" s="13">
        <v>0.5</v>
      </c>
      <c r="E15" s="13">
        <v>0.5</v>
      </c>
      <c r="F15" s="14">
        <v>0</v>
      </c>
      <c r="J15">
        <f>SUM(J5*J9,K5*K9,L5*L9,M5*M9,N5*N9,O5*O9,P5*P9,Q5*Q9,R5*R9)</f>
        <v>-6.0715321659188248E-17</v>
      </c>
      <c r="K15" s="11" t="s">
        <v>15</v>
      </c>
      <c r="L15">
        <v>0</v>
      </c>
    </row>
    <row r="16" spans="1:20" x14ac:dyDescent="0.4">
      <c r="J16">
        <f>SUM(J5*J10,K5*K10,L5*L10,M5*M10,N5*N10,O5*O10,P5*P10,Q5*Q10,R5*R10)</f>
        <v>3.6429192995512949E-17</v>
      </c>
      <c r="K16" s="11" t="s">
        <v>15</v>
      </c>
      <c r="L16">
        <v>0</v>
      </c>
    </row>
    <row r="17" spans="1:12" x14ac:dyDescent="0.4">
      <c r="A17" s="1" t="s">
        <v>10</v>
      </c>
      <c r="B17" s="2"/>
      <c r="C17" s="2"/>
      <c r="D17" s="2"/>
      <c r="E17" s="2"/>
      <c r="F17" s="3"/>
      <c r="J17">
        <f>SUM(J5*J11,K5*K11,L5*L11,M5*M11,N5*N11,O5*O11,P5*P11,Q5*Q11,R5*R11)</f>
        <v>0</v>
      </c>
      <c r="K17" s="11" t="s">
        <v>15</v>
      </c>
      <c r="L17">
        <v>0</v>
      </c>
    </row>
    <row r="18" spans="1:12" x14ac:dyDescent="0.4">
      <c r="A18" s="4" t="s">
        <v>23</v>
      </c>
      <c r="B18">
        <v>0</v>
      </c>
      <c r="C18">
        <v>1</v>
      </c>
      <c r="D18">
        <v>2</v>
      </c>
      <c r="E18">
        <v>3</v>
      </c>
      <c r="F18" s="5">
        <v>4</v>
      </c>
      <c r="J18">
        <f>SUM(J5*J12,K5*K12,L5*L12,M5*M12,N5*N12,O5*O12,P5*P12,Q5*Q12,R5*R12)</f>
        <v>-1.5959455978986625E-16</v>
      </c>
      <c r="K18" s="11" t="s">
        <v>15</v>
      </c>
      <c r="L18">
        <v>0</v>
      </c>
    </row>
    <row r="19" spans="1:12" x14ac:dyDescent="0.4">
      <c r="A19" s="4">
        <v>1</v>
      </c>
      <c r="B19">
        <v>7632</v>
      </c>
      <c r="C19">
        <v>20988</v>
      </c>
      <c r="D19">
        <v>32436</v>
      </c>
      <c r="E19">
        <v>38160</v>
      </c>
      <c r="F19" s="5">
        <v>38160</v>
      </c>
    </row>
    <row r="20" spans="1:12" x14ac:dyDescent="0.4">
      <c r="A20" s="4">
        <v>2</v>
      </c>
      <c r="B20">
        <v>7200</v>
      </c>
      <c r="C20">
        <v>20232</v>
      </c>
      <c r="D20">
        <v>31356</v>
      </c>
      <c r="F20" s="5"/>
    </row>
    <row r="21" spans="1:12" x14ac:dyDescent="0.4">
      <c r="A21" s="12">
        <v>3</v>
      </c>
      <c r="B21" s="13"/>
      <c r="C21" s="13"/>
      <c r="D21" s="13"/>
      <c r="E21" s="13">
        <v>45792</v>
      </c>
      <c r="F21" s="14">
        <v>64872</v>
      </c>
    </row>
    <row r="1048550" spans="16383:16383" x14ac:dyDescent="0.4">
      <c r="XFC1048550" t="e" cm="1">
        <f t="array" ref="XFC1048550">solver_pre</f>
        <v>#NAME?</v>
      </c>
    </row>
    <row r="1048551" spans="16383:16383" x14ac:dyDescent="0.4">
      <c r="XFC1048551" t="e" cm="1">
        <f t="array" ref="XFC1048551">solver_scl</f>
        <v>#NAME?</v>
      </c>
    </row>
    <row r="1048552" spans="16383:16383" x14ac:dyDescent="0.4">
      <c r="XFC1048552" t="e" cm="1">
        <f t="array" ref="XFC1048552">solver_rlx</f>
        <v>#NAME?</v>
      </c>
    </row>
    <row r="1048553" spans="16383:16383" x14ac:dyDescent="0.4">
      <c r="XFC1048553" t="e" cm="1">
        <f t="array" ref="XFC1048553">solver_tol</f>
        <v>#NAME?</v>
      </c>
    </row>
    <row r="1048554" spans="16383:16383" x14ac:dyDescent="0.4">
      <c r="XFC1048554" t="e" cm="1">
        <f t="array" ref="XFC1048554">solver_cvg</f>
        <v>#NAME?</v>
      </c>
    </row>
    <row r="1048555" spans="16383:16383" x14ac:dyDescent="0.4">
      <c r="XFC1048555" t="e" cm="1">
        <f t="array" ref="XFC1048555">AREAS(solver_adj1)</f>
        <v>#NAME?</v>
      </c>
    </row>
    <row r="1048556" spans="16383:16383" x14ac:dyDescent="0.4">
      <c r="XFC1048556" t="e" cm="1">
        <f t="array" ref="XFC1048556">solver_ssz</f>
        <v>#NAME?</v>
      </c>
    </row>
    <row r="1048557" spans="16383:16383" x14ac:dyDescent="0.4">
      <c r="XFC1048557" t="e" cm="1">
        <f t="array" ref="XFC1048557">solver_rsd</f>
        <v>#NAME?</v>
      </c>
    </row>
    <row r="1048558" spans="16383:16383" x14ac:dyDescent="0.4">
      <c r="XFC1048558" t="e" cm="1">
        <f t="array" ref="XFC1048558">solver_mrt</f>
        <v>#NAME?</v>
      </c>
    </row>
    <row r="1048559" spans="16383:16383" x14ac:dyDescent="0.4">
      <c r="XFC1048559" t="e" cm="1">
        <f t="array" ref="XFC1048559">solver_mni</f>
        <v>#NAME?</v>
      </c>
    </row>
    <row r="1048560" spans="16383:16383" x14ac:dyDescent="0.4">
      <c r="XFC1048560" t="e" cm="1">
        <f t="array" ref="XFC1048560">solver_rbv</f>
        <v>#NAME?</v>
      </c>
    </row>
    <row r="1048561" spans="16383:16383" x14ac:dyDescent="0.4">
      <c r="XFC1048561" t="e" cm="1">
        <f t="array" ref="XFC1048561">solver_neg</f>
        <v>#NAME?</v>
      </c>
    </row>
    <row r="1048562" spans="16383:16383" x14ac:dyDescent="0.4">
      <c r="XFC1048562" t="e" cm="1">
        <f t="array" ref="XFC1048562">solver_ntr</f>
        <v>#NAME?</v>
      </c>
    </row>
    <row r="1048563" spans="16383:16383" x14ac:dyDescent="0.4">
      <c r="XFC1048563" t="e" cm="1">
        <f t="array" ref="XFC1048563">solver_acc</f>
        <v>#NAME?</v>
      </c>
    </row>
    <row r="1048564" spans="16383:16383" x14ac:dyDescent="0.4">
      <c r="XFC1048564" t="e" cm="1">
        <f t="array" ref="XFC1048564">solver_res</f>
        <v>#NAME?</v>
      </c>
    </row>
    <row r="1048565" spans="16383:16383" x14ac:dyDescent="0.4">
      <c r="XFC1048565" t="e" cm="1">
        <f t="array" ref="XFC1048565">solver_ars</f>
        <v>#NAME?</v>
      </c>
    </row>
    <row r="1048566" spans="16383:16383" x14ac:dyDescent="0.4">
      <c r="XFC1048566" t="e" cm="1">
        <f t="array" ref="XFC1048566">solver_sta</f>
        <v>#NAME?</v>
      </c>
    </row>
    <row r="1048567" spans="16383:16383" x14ac:dyDescent="0.4">
      <c r="XFC1048567" t="e" cm="1">
        <f t="array" ref="XFC1048567">solver_met</f>
        <v>#NAME?</v>
      </c>
    </row>
    <row r="1048568" spans="16383:16383" x14ac:dyDescent="0.4">
      <c r="XFC1048568" t="e" cm="1">
        <f t="array" ref="XFC1048568">solver_soc</f>
        <v>#NAME?</v>
      </c>
    </row>
    <row r="1048569" spans="16383:16383" x14ac:dyDescent="0.4">
      <c r="XFC1048569" t="e" cm="1">
        <f t="array" ref="XFC1048569">solver_lpt</f>
        <v>#NAME?</v>
      </c>
    </row>
    <row r="1048570" spans="16383:16383" x14ac:dyDescent="0.4">
      <c r="XFC1048570" t="e" cm="1">
        <f t="array" ref="XFC1048570">solver_lpp</f>
        <v>#NAME?</v>
      </c>
    </row>
    <row r="1048571" spans="16383:16383" x14ac:dyDescent="0.4">
      <c r="XFC1048571" t="e" cm="1">
        <f t="array" ref="XFC1048571">solver_gap</f>
        <v>#NAME?</v>
      </c>
    </row>
    <row r="1048572" spans="16383:16383" x14ac:dyDescent="0.4">
      <c r="XFC1048572" t="e" cm="1">
        <f t="array" ref="XFC1048572">solver_ips</f>
        <v>#NAME?</v>
      </c>
    </row>
    <row r="1048573" spans="16383:16383" x14ac:dyDescent="0.4">
      <c r="XFC1048573" t="e" cm="1">
        <f t="array" ref="XFC1048573">solver_fea</f>
        <v>#NAME?</v>
      </c>
    </row>
    <row r="1048574" spans="16383:16383" x14ac:dyDescent="0.4">
      <c r="XFC1048574" t="e" cm="1">
        <f t="array" ref="XFC1048574">solver_ipi</f>
        <v>#NAME?</v>
      </c>
    </row>
    <row r="1048575" spans="16383:16383" x14ac:dyDescent="0.4">
      <c r="XFC1048575" t="e" cm="1">
        <f t="array" ref="XFC1048575">solver_ipd</f>
        <v>#NAME?</v>
      </c>
    </row>
  </sheetData>
  <phoneticPr fontId="4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8760B3B1-36A8-47F3-8137-70C98E3A6F40}">
          <xm:f>#REF!</xm:f>
        </x15:webExtension>
        <x15:webExtension appRef="{AA3B6EC8-10BB-45B1-BD69-5552DB334072}">
          <xm:f>#REF!</xm:f>
        </x15:webExtension>
        <x15:webExtension appRef="{3FAA6E29-6071-4849-AAFA-10E148D0038D}">
          <xm:f>Sheet1!1:1048576</xm:f>
        </x15:webExtension>
        <x15:webExtension appRef="{EE616793-33D6-41B7-9CA5-8B25B3DDCF37}">
          <xm:f>Sheet1!XFC1048550:XFD1048575</xm:f>
        </x15:webExtension>
        <x15:webExtension appRef="{BFD21C0C-0067-4782-868C-6BD339FEF2B1}">
          <xm:f>Sheet1!$J$5:$R$5</xm:f>
        </x15:webExtension>
        <x15:webExtension appRef="{765AC1A5-3B9D-4C89-8E8A-7C75DD0C5B83}">
          <xm:f>Sheet1!1:1048576</xm:f>
        </x15:webExtension>
        <x15:webExtension appRef="{5672825A-82F5-43AE-A808-4B4D86092875}">
          <xm:f>Sheet1!$J$5:$S$5</xm:f>
        </x15:webExtension>
        <x15:webExtension appRef="{084EC5D0-1FF6-4529-A74C-3B3B38950AC6}">
          <xm:f>Sheet1!XFD1048550:XFD1048575</xm:f>
        </x15:webExtension>
        <x15:webExtension appRef="{A147E0EB-DE46-4D4E-806D-530B5D0CA909}">
          <xm:f>Sheet1!$K$7</xm:f>
        </x15:webExtension>
        <x15:webExtension appRef="{D7E06351-7490-4E35-A276-5129B8544517}">
          <xm:f>Sheet1!$J$5:$R$5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A529-B297-4AF0-B10E-41C0D8512696}">
  <dimension ref="A1:G35"/>
  <sheetViews>
    <sheetView workbookViewId="0">
      <selection activeCell="K11" sqref="K11"/>
    </sheetView>
  </sheetViews>
  <sheetFormatPr defaultRowHeight="17.399999999999999" x14ac:dyDescent="0.4"/>
  <cols>
    <col min="3" max="3" width="13.19921875" bestFit="1" customWidth="1"/>
    <col min="4" max="4" width="13.5" bestFit="1" customWidth="1"/>
    <col min="7" max="7" width="13.5" bestFit="1" customWidth="1"/>
  </cols>
  <sheetData>
    <row r="1" spans="1:4" x14ac:dyDescent="0.4">
      <c r="A1" s="17" t="s">
        <v>24</v>
      </c>
    </row>
    <row r="2" spans="1:4" x14ac:dyDescent="0.4">
      <c r="A2" s="17" t="s">
        <v>25</v>
      </c>
    </row>
    <row r="3" spans="1:4" x14ac:dyDescent="0.4">
      <c r="A3" s="17" t="s">
        <v>26</v>
      </c>
    </row>
    <row r="4" spans="1:4" x14ac:dyDescent="0.4">
      <c r="A4" s="17" t="s">
        <v>27</v>
      </c>
    </row>
    <row r="5" spans="1:4" x14ac:dyDescent="0.4">
      <c r="A5" s="17" t="s">
        <v>28</v>
      </c>
    </row>
    <row r="6" spans="1:4" x14ac:dyDescent="0.4">
      <c r="A6" s="17" t="s">
        <v>29</v>
      </c>
    </row>
    <row r="7" spans="1:4" x14ac:dyDescent="0.4">
      <c r="A7" s="17" t="s">
        <v>30</v>
      </c>
    </row>
    <row r="8" spans="1:4" x14ac:dyDescent="0.4">
      <c r="A8" s="17" t="s">
        <v>31</v>
      </c>
    </row>
    <row r="9" spans="1:4" x14ac:dyDescent="0.4">
      <c r="A9" s="17" t="s">
        <v>32</v>
      </c>
    </row>
    <row r="12" spans="1:4" x14ac:dyDescent="0.4">
      <c r="A12" s="22" t="s">
        <v>33</v>
      </c>
      <c r="B12" s="22"/>
      <c r="C12" s="22"/>
      <c r="D12" s="22"/>
    </row>
    <row r="13" spans="1:4" x14ac:dyDescent="0.4">
      <c r="A13" s="19"/>
      <c r="B13" s="19" t="s">
        <v>34</v>
      </c>
      <c r="C13" s="19" t="s">
        <v>35</v>
      </c>
      <c r="D13" s="19" t="s">
        <v>36</v>
      </c>
    </row>
    <row r="14" spans="1:4" x14ac:dyDescent="0.4">
      <c r="A14" s="20"/>
      <c r="B14" s="21" t="s">
        <v>37</v>
      </c>
      <c r="C14" s="20">
        <v>30864.70588235269</v>
      </c>
      <c r="D14" s="20">
        <v>29464.772461571774</v>
      </c>
    </row>
    <row r="17" spans="1:7" x14ac:dyDescent="0.4">
      <c r="A17" s="22" t="s">
        <v>38</v>
      </c>
      <c r="B17" s="22"/>
      <c r="C17" s="22"/>
      <c r="D17" s="22"/>
    </row>
    <row r="18" spans="1:7" x14ac:dyDescent="0.4">
      <c r="A18" s="19"/>
      <c r="B18" s="19" t="s">
        <v>34</v>
      </c>
      <c r="C18" s="19" t="s">
        <v>35</v>
      </c>
      <c r="D18" s="19" t="s">
        <v>36</v>
      </c>
    </row>
    <row r="19" spans="1:7" x14ac:dyDescent="0.4">
      <c r="A19" s="18"/>
      <c r="B19" s="18" t="s">
        <v>39</v>
      </c>
      <c r="C19" s="18">
        <v>0</v>
      </c>
      <c r="D19" s="18">
        <v>0.13163022299198962</v>
      </c>
    </row>
    <row r="20" spans="1:7" x14ac:dyDescent="0.4">
      <c r="A20" s="18"/>
      <c r="B20" s="18" t="s">
        <v>40</v>
      </c>
      <c r="C20" s="18">
        <v>0</v>
      </c>
      <c r="D20" s="18">
        <v>0</v>
      </c>
    </row>
    <row r="21" spans="1:7" x14ac:dyDescent="0.4">
      <c r="A21" s="18"/>
      <c r="B21" s="18" t="s">
        <v>41</v>
      </c>
      <c r="C21" s="18">
        <v>0</v>
      </c>
      <c r="D21" s="18">
        <v>0</v>
      </c>
    </row>
    <row r="22" spans="1:7" x14ac:dyDescent="0.4">
      <c r="A22" s="18"/>
      <c r="B22" s="18" t="s">
        <v>42</v>
      </c>
      <c r="C22" s="18">
        <v>0</v>
      </c>
      <c r="D22" s="18">
        <v>0.26823987876163674</v>
      </c>
    </row>
    <row r="23" spans="1:7" x14ac:dyDescent="0.4">
      <c r="A23" s="18"/>
      <c r="B23" s="18" t="s">
        <v>43</v>
      </c>
      <c r="C23" s="18">
        <v>0</v>
      </c>
      <c r="D23" s="18">
        <v>0.32041567438839585</v>
      </c>
    </row>
    <row r="24" spans="1:7" x14ac:dyDescent="0.4">
      <c r="A24" s="18"/>
      <c r="B24" s="18" t="s">
        <v>44</v>
      </c>
      <c r="C24" s="18">
        <v>0.55882352941176106</v>
      </c>
      <c r="D24" s="18">
        <v>0.20610521757956271</v>
      </c>
    </row>
    <row r="25" spans="1:7" x14ac:dyDescent="0.4">
      <c r="A25" s="18"/>
      <c r="B25" s="18" t="s">
        <v>45</v>
      </c>
      <c r="C25" s="18">
        <v>0</v>
      </c>
      <c r="D25" s="18">
        <v>0</v>
      </c>
    </row>
    <row r="26" spans="1:7" x14ac:dyDescent="0.4">
      <c r="A26" s="18"/>
      <c r="B26" s="18" t="s">
        <v>46</v>
      </c>
      <c r="C26" s="18">
        <v>0</v>
      </c>
      <c r="D26" s="18">
        <v>0</v>
      </c>
    </row>
    <row r="27" spans="1:7" x14ac:dyDescent="0.4">
      <c r="A27" s="20"/>
      <c r="B27" s="20" t="s">
        <v>47</v>
      </c>
      <c r="C27" s="20">
        <v>0.14705882352940999</v>
      </c>
      <c r="D27" s="20">
        <v>7.3609006278415282E-2</v>
      </c>
    </row>
    <row r="29" spans="1:7" x14ac:dyDescent="0.4">
      <c r="A29" s="22" t="s">
        <v>48</v>
      </c>
      <c r="B29" s="22"/>
      <c r="C29" s="22"/>
      <c r="D29" s="22"/>
      <c r="E29" s="22"/>
      <c r="F29" s="22"/>
      <c r="G29" s="22"/>
    </row>
    <row r="30" spans="1:7" x14ac:dyDescent="0.4">
      <c r="A30" s="19"/>
      <c r="B30" s="19" t="s">
        <v>34</v>
      </c>
      <c r="C30" s="19" t="s">
        <v>35</v>
      </c>
      <c r="D30" s="19" t="s">
        <v>36</v>
      </c>
      <c r="E30" s="19" t="s">
        <v>49</v>
      </c>
      <c r="F30" s="19" t="s">
        <v>50</v>
      </c>
      <c r="G30" s="19" t="s">
        <v>51</v>
      </c>
    </row>
    <row r="31" spans="1:7" x14ac:dyDescent="0.4">
      <c r="A31" s="18"/>
      <c r="B31" s="18" t="s">
        <v>52</v>
      </c>
      <c r="C31" s="18">
        <v>0.70588235294117108</v>
      </c>
      <c r="D31" s="18">
        <v>1.0000000000000004</v>
      </c>
      <c r="E31" s="18">
        <v>1</v>
      </c>
      <c r="F31" s="18">
        <v>1</v>
      </c>
      <c r="G31" s="18">
        <v>-4.4408920985006262E-16</v>
      </c>
    </row>
    <row r="32" spans="1:7" x14ac:dyDescent="0.4">
      <c r="A32" s="18"/>
      <c r="B32" s="18" t="s">
        <v>53</v>
      </c>
      <c r="C32" s="18">
        <v>-3.4926470588235066E-2</v>
      </c>
      <c r="D32" s="18">
        <v>-6.9388939039072284E-18</v>
      </c>
      <c r="E32" s="18">
        <v>0</v>
      </c>
      <c r="F32" s="18">
        <v>0</v>
      </c>
      <c r="G32" s="18">
        <v>6.9388939039072284E-18</v>
      </c>
    </row>
    <row r="33" spans="1:7" x14ac:dyDescent="0.4">
      <c r="A33" s="18"/>
      <c r="B33" s="18" t="s">
        <v>54</v>
      </c>
      <c r="C33" s="18">
        <v>-3.4926470588235066E-2</v>
      </c>
      <c r="D33" s="18">
        <v>-1.0408340855860844E-17</v>
      </c>
      <c r="E33" s="18">
        <v>0</v>
      </c>
      <c r="F33" s="18">
        <v>0</v>
      </c>
      <c r="G33" s="18">
        <v>1.0408340855860844E-17</v>
      </c>
    </row>
    <row r="34" spans="1:7" x14ac:dyDescent="0.4">
      <c r="A34" s="18"/>
      <c r="B34" s="18" t="s">
        <v>55</v>
      </c>
      <c r="C34" s="18">
        <v>-0.14338235294117513</v>
      </c>
      <c r="D34" s="18">
        <v>1.3877787807814457E-17</v>
      </c>
      <c r="E34" s="18">
        <v>0</v>
      </c>
      <c r="F34" s="18">
        <v>0</v>
      </c>
      <c r="G34" s="18">
        <v>-1.3877787807814457E-17</v>
      </c>
    </row>
    <row r="35" spans="1:7" x14ac:dyDescent="0.4">
      <c r="A35" s="20"/>
      <c r="B35" s="20" t="s">
        <v>56</v>
      </c>
      <c r="C35" s="20">
        <v>0.20588235294117552</v>
      </c>
      <c r="D35" s="20">
        <v>-6.9388939039072284E-18</v>
      </c>
      <c r="E35" s="20">
        <v>0</v>
      </c>
      <c r="F35" s="20">
        <v>0</v>
      </c>
      <c r="G35" s="20">
        <v>6.9388939039072284E-18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F519-A84E-4DF1-A655-575F56DF6475}">
  <dimension ref="A1:D30"/>
  <sheetViews>
    <sheetView workbookViewId="0"/>
  </sheetViews>
  <sheetFormatPr defaultRowHeight="17.399999999999999" x14ac:dyDescent="0.4"/>
  <cols>
    <col min="3" max="3" width="13.5" bestFit="1" customWidth="1"/>
    <col min="4" max="4" width="13.19921875" bestFit="1" customWidth="1"/>
  </cols>
  <sheetData>
    <row r="1" spans="1:4" x14ac:dyDescent="0.4">
      <c r="A1" s="17" t="s">
        <v>57</v>
      </c>
    </row>
    <row r="2" spans="1:4" x14ac:dyDescent="0.4">
      <c r="A2" s="17" t="s">
        <v>25</v>
      </c>
    </row>
    <row r="3" spans="1:4" x14ac:dyDescent="0.4">
      <c r="A3" s="17" t="s">
        <v>26</v>
      </c>
    </row>
    <row r="4" spans="1:4" x14ac:dyDescent="0.4">
      <c r="A4" s="17" t="s">
        <v>28</v>
      </c>
    </row>
    <row r="6" spans="1:4" x14ac:dyDescent="0.4">
      <c r="A6" s="22" t="s">
        <v>33</v>
      </c>
      <c r="B6" s="22"/>
      <c r="C6" s="22"/>
      <c r="D6" s="22"/>
    </row>
    <row r="7" spans="1:4" x14ac:dyDescent="0.4">
      <c r="A7" s="19"/>
      <c r="B7" s="19" t="s">
        <v>34</v>
      </c>
      <c r="C7" s="19" t="s">
        <v>35</v>
      </c>
      <c r="D7" s="19" t="s">
        <v>36</v>
      </c>
    </row>
    <row r="8" spans="1:4" x14ac:dyDescent="0.4">
      <c r="A8" s="20"/>
      <c r="B8" s="21" t="s">
        <v>37</v>
      </c>
      <c r="C8" s="20">
        <v>30864.70588235269</v>
      </c>
      <c r="D8" s="20">
        <v>29464.772461571774</v>
      </c>
    </row>
    <row r="10" spans="1:4" x14ac:dyDescent="0.4">
      <c r="A10" s="22" t="s">
        <v>38</v>
      </c>
      <c r="B10" s="22"/>
      <c r="C10" s="22"/>
      <c r="D10" s="22"/>
    </row>
    <row r="11" spans="1:4" x14ac:dyDescent="0.4">
      <c r="A11" s="19"/>
      <c r="B11" s="19"/>
      <c r="C11" s="19" t="s">
        <v>58</v>
      </c>
      <c r="D11" s="19" t="s">
        <v>59</v>
      </c>
    </row>
    <row r="12" spans="1:4" x14ac:dyDescent="0.4">
      <c r="A12" s="19"/>
      <c r="B12" s="19" t="s">
        <v>34</v>
      </c>
      <c r="C12" s="19" t="s">
        <v>60</v>
      </c>
      <c r="D12" s="19" t="s">
        <v>61</v>
      </c>
    </row>
    <row r="13" spans="1:4" x14ac:dyDescent="0.4">
      <c r="A13" s="18"/>
      <c r="B13" s="18" t="s">
        <v>39</v>
      </c>
      <c r="C13" s="18">
        <v>0.13163022299198962</v>
      </c>
      <c r="D13" s="18">
        <v>0</v>
      </c>
    </row>
    <row r="14" spans="1:4" x14ac:dyDescent="0.4">
      <c r="A14" s="18"/>
      <c r="B14" s="18" t="s">
        <v>40</v>
      </c>
      <c r="C14" s="18">
        <v>0</v>
      </c>
      <c r="D14" s="18">
        <v>-451.88482355487577</v>
      </c>
    </row>
    <row r="15" spans="1:4" x14ac:dyDescent="0.4">
      <c r="A15" s="18"/>
      <c r="B15" s="18" t="s">
        <v>41</v>
      </c>
      <c r="C15" s="18">
        <v>0</v>
      </c>
      <c r="D15" s="18">
        <v>-13200.200043299415</v>
      </c>
    </row>
    <row r="16" spans="1:4" x14ac:dyDescent="0.4">
      <c r="A16" s="18"/>
      <c r="B16" s="18" t="s">
        <v>42</v>
      </c>
      <c r="C16" s="18">
        <v>0.26823987876163674</v>
      </c>
      <c r="D16" s="18">
        <v>0</v>
      </c>
    </row>
    <row r="17" spans="1:4" x14ac:dyDescent="0.4">
      <c r="A17" s="18"/>
      <c r="B17" s="18" t="s">
        <v>43</v>
      </c>
      <c r="C17" s="18">
        <v>0.32041567438839585</v>
      </c>
      <c r="D17" s="18">
        <v>0</v>
      </c>
    </row>
    <row r="18" spans="1:4" x14ac:dyDescent="0.4">
      <c r="A18" s="18"/>
      <c r="B18" s="18" t="s">
        <v>44</v>
      </c>
      <c r="C18" s="18">
        <v>0.20610521757956271</v>
      </c>
      <c r="D18" s="18">
        <v>0</v>
      </c>
    </row>
    <row r="19" spans="1:4" x14ac:dyDescent="0.4">
      <c r="A19" s="18"/>
      <c r="B19" s="18" t="s">
        <v>45</v>
      </c>
      <c r="C19" s="18">
        <v>0</v>
      </c>
      <c r="D19" s="18">
        <v>-21404.974929638433</v>
      </c>
    </row>
    <row r="20" spans="1:4" x14ac:dyDescent="0.4">
      <c r="A20" s="18"/>
      <c r="B20" s="18" t="s">
        <v>46</v>
      </c>
      <c r="C20" s="18">
        <v>0</v>
      </c>
      <c r="D20" s="18">
        <v>-2910.2032907555731</v>
      </c>
    </row>
    <row r="21" spans="1:4" x14ac:dyDescent="0.4">
      <c r="A21" s="20"/>
      <c r="B21" s="20" t="s">
        <v>47</v>
      </c>
      <c r="C21" s="20">
        <v>7.3609006278415282E-2</v>
      </c>
      <c r="D21" s="20">
        <v>0</v>
      </c>
    </row>
    <row r="23" spans="1:4" x14ac:dyDescent="0.4">
      <c r="A23" s="22" t="s">
        <v>48</v>
      </c>
      <c r="B23" s="22"/>
      <c r="C23" s="22"/>
      <c r="D23" s="22"/>
    </row>
    <row r="24" spans="1:4" x14ac:dyDescent="0.4">
      <c r="A24" s="19"/>
      <c r="B24" s="19"/>
      <c r="C24" s="19" t="s">
        <v>58</v>
      </c>
      <c r="D24" s="19" t="s">
        <v>62</v>
      </c>
    </row>
    <row r="25" spans="1:4" x14ac:dyDescent="0.4">
      <c r="A25" s="19"/>
      <c r="B25" s="19" t="s">
        <v>34</v>
      </c>
      <c r="C25" s="19" t="s">
        <v>60</v>
      </c>
      <c r="D25" s="19" t="s">
        <v>63</v>
      </c>
    </row>
    <row r="26" spans="1:4" x14ac:dyDescent="0.4">
      <c r="A26" s="18"/>
      <c r="B26" s="18" t="s">
        <v>52</v>
      </c>
      <c r="C26" s="18">
        <v>1.0000000000000004</v>
      </c>
      <c r="D26" s="18">
        <v>29464.772461571767</v>
      </c>
    </row>
    <row r="27" spans="1:4" x14ac:dyDescent="0.4">
      <c r="A27" s="18"/>
      <c r="B27" s="18" t="s">
        <v>53</v>
      </c>
      <c r="C27" s="18">
        <v>-6.9388939039072284E-18</v>
      </c>
      <c r="D27" s="18">
        <v>-141870.64559428446</v>
      </c>
    </row>
    <row r="28" spans="1:4" x14ac:dyDescent="0.4">
      <c r="A28" s="18"/>
      <c r="B28" s="18" t="s">
        <v>54</v>
      </c>
      <c r="C28" s="18">
        <v>-1.0408340855860844E-17</v>
      </c>
      <c r="D28" s="18">
        <v>-76431.982680233807</v>
      </c>
    </row>
    <row r="29" spans="1:4" x14ac:dyDescent="0.4">
      <c r="A29" s="18"/>
      <c r="B29" s="18" t="s">
        <v>55</v>
      </c>
      <c r="C29" s="18">
        <v>1.3877787807814457E-17</v>
      </c>
      <c r="D29" s="18">
        <v>-48733.665295518505</v>
      </c>
    </row>
    <row r="30" spans="1:4" x14ac:dyDescent="0.4">
      <c r="A30" s="20"/>
      <c r="B30" s="20" t="s">
        <v>56</v>
      </c>
      <c r="C30" s="20">
        <v>-6.9388939039072284E-18</v>
      </c>
      <c r="D30" s="20">
        <v>-22080.789781337968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Answer Report 1</vt:lpstr>
      <vt:lpstr>Sensitivity Report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유원준</dc:creator>
  <cp:keywords/>
  <dc:description/>
  <cp:lastModifiedBy>원준 유</cp:lastModifiedBy>
  <cp:revision/>
  <dcterms:created xsi:type="dcterms:W3CDTF">2024-06-07T10:49:46Z</dcterms:created>
  <dcterms:modified xsi:type="dcterms:W3CDTF">2024-06-08T07:36:34Z</dcterms:modified>
  <cp:category/>
  <cp:contentStatus/>
</cp:coreProperties>
</file>